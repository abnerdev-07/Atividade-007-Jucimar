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Detalhado" sheetId="1" r:id="rId5"/>
  </sheets>
  <definedNames/>
  <calcPr/>
</workbook>
</file>

<file path=xl/sharedStrings.xml><?xml version="1.0" encoding="utf-8"?>
<sst xmlns="http://schemas.openxmlformats.org/spreadsheetml/2006/main" count="63" uniqueCount="47">
  <si>
    <t>🚀 Dashboard de Projeto — To-Do List em Flask</t>
  </si>
  <si>
    <t>Atividade 007 · UEA · Sistemas de Informação · Período: 12/10 a 19/10/2026 · Entrega Final: 19/10 às 18h</t>
  </si>
  <si>
    <t>TOTAL DE SPRINTS</t>
  </si>
  <si>
    <t>SPRINTS CONCLUÍDAS</t>
  </si>
  <si>
    <t>PROGRESSO GERAL</t>
  </si>
  <si>
    <t>STATUS DA BRANCH MAIN</t>
  </si>
  <si>
    <t>Sprint</t>
  </si>
  <si>
    <t>Foco</t>
  </si>
  <si>
    <t>O que será feito</t>
  </si>
  <si>
    <t>Status</t>
  </si>
  <si>
    <t>Responsáveis</t>
  </si>
  <si>
    <t>Início</t>
  </si>
  <si>
    <t>Dias</t>
  </si>
  <si>
    <t>S1</t>
  </si>
  <si>
    <t>Organização e GitHub</t>
  </si>
  <si>
    <t>Repositório e colaboradores
Labels, milestones e board
Proteção da main (PR obrigatório)
Issues de todas as sprints</t>
  </si>
  <si>
    <t>Concluída</t>
  </si>
  <si>
    <t>P1 (líder)</t>
  </si>
  <si>
    <t>S2</t>
  </si>
  <si>
    <t>Base do projeto</t>
  </si>
  <si>
    <t>config.py e database.py (3 tabelas)
app.py com os módulos registrados
Pastas contatos/ e tarefas/
base.html com menu e CSS das 4 cores</t>
  </si>
  <si>
    <t>P1 e P4</t>
  </si>
  <si>
    <t>S3</t>
  </si>
  <si>
    <t>Contatos completo</t>
  </si>
  <si>
    <t>Listar, adicionar, editar e apagar contato
Funções reais de tarefas no banco
Vínculo tarefa ↔ vários responsáveis
Dados de exemplo e visual dos contatos</t>
  </si>
  <si>
    <t>P2, P3 e P4</t>
  </si>
  <si>
    <t>S4</t>
  </si>
  <si>
    <t>Tarefas</t>
  </si>
  <si>
    <t>Formulário de nova tarefa (vários responsáveis)
Editar tarefa e responsáveis
Validações e mensagens de erro
Telas do formulário e da lista</t>
  </si>
  <si>
    <t>P3, P2 e P4</t>
  </si>
  <si>
    <t>S5</t>
  </si>
  <si>
    <t>Status e regras</t>
  </si>
  <si>
    <t>Trocar status e apagar tarefa
Cores por status, prioridade e atrasada
Bloquear apagar contato com tarefas
Filtro de tarefas por contato</t>
  </si>
  <si>
    <t>P3, P4 e P2</t>
  </si>
  <si>
    <t>S6</t>
  </si>
  <si>
    <t>Tela de visualização</t>
  </si>
  <si>
    <t>Tarefas agrupadas por responsável
A mesma tarefa aparece sob cada responsável
Filtros por status e por contato</t>
  </si>
  <si>
    <t>P4, P3 e P2</t>
  </si>
  <si>
    <t>S7</t>
  </si>
  <si>
    <t>Testes e documentação</t>
  </si>
  <si>
    <t>Teste cruzado entre os módulos
Corrigir bugs encontrados
README e cronograma na pasta docs/
Merge das pendências na main</t>
  </si>
  <si>
    <t>Todos (P1 coordena)</t>
  </si>
  <si>
    <t>S8</t>
  </si>
  <si>
    <t>Entrega</t>
  </si>
  <si>
    <t>Congelar a main às 16h
Tag v1.0
Conferir colaboradores e commits
Clonar do zero, rodar e entregar até 18h</t>
  </si>
  <si>
    <t>📌 Regras do Grupo: Só o P1 edita database.py e app.py · Todo PR com descrição e 'Closes #N' · Main congelada às 16h do dia 19/10 · Entrega até 18h</t>
  </si>
  <si>
    <t>👥 Legenda: P1 líder (infra e revisão) · P2 contatos · P3 tarefas · P4 visual e 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</si>
</sst>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d&#10;dd/mm"/>
    <numFmt numFmtId="166" formatCode="dd/mm"/>
  </numFmts>
  <fonts count="19">
    <font>
      <sz val="10.0"/>
      <color rgb="FF000000"/>
      <name val="Arial"/>
      <scheme val="minor"/>
    </font>
    <font>
      <color rgb="FF1E293B"/>
      <name val="Google Sans"/>
    </font>
    <font>
      <b/>
      <sz val="18.0"/>
      <color rgb="FF1E293B"/>
      <name val="Google Sans"/>
    </font>
    <font>
      <sz val="10.0"/>
      <color rgb="FF64748B"/>
      <name val="Google Sans"/>
    </font>
    <font>
      <b/>
      <sz val="8.0"/>
      <color rgb="FF64748B"/>
      <name val="Google Sans"/>
    </font>
    <font/>
    <font>
      <b/>
      <sz val="18.0"/>
      <color rgb="FF10B981"/>
      <name val="Google Sans"/>
    </font>
    <font>
      <b/>
      <sz val="18.0"/>
      <color rgb="FF3B82F6"/>
      <name val="Google Sans"/>
    </font>
    <font>
      <b/>
      <sz val="11.0"/>
      <color rgb="FFEF4444"/>
      <name val="Google Sans"/>
    </font>
    <font>
      <b/>
      <color rgb="FFFFFFFF"/>
      <name val="Google Sans"/>
    </font>
    <font>
      <b/>
      <sz val="12.0"/>
      <color rgb="FFFFFFFF"/>
      <name val="Google Sans"/>
    </font>
    <font>
      <b/>
      <color rgb="FF1E293B"/>
      <name val="Google Sans"/>
    </font>
    <font>
      <sz val="9.0"/>
      <color rgb="FF1E293B"/>
      <name val="Google Sans"/>
    </font>
    <font>
      <b/>
      <sz val="9.0"/>
      <color rgb="FF1E293B"/>
      <name val="Google Sans"/>
    </font>
    <font>
      <b/>
      <sz val="10.0"/>
      <color rgb="FFFFFFFF"/>
      <name val="Google Sans"/>
    </font>
    <font>
      <b/>
      <sz val="12.0"/>
      <color rgb="FF1E293B"/>
      <name val="Google Sans"/>
    </font>
    <font>
      <b/>
      <sz val="10.0"/>
      <color rgb="FF1E293B"/>
      <name val="Google Sans"/>
    </font>
    <font>
      <sz val="9.0"/>
      <color rgb="FF334155"/>
      <name val="Google Sans"/>
    </font>
    <font>
      <sz val="9.0"/>
      <color rgb="FF64748B"/>
      <name val="Google Sans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293B"/>
        <bgColor rgb="FF1E293B"/>
      </patternFill>
    </fill>
    <fill>
      <patternFill patternType="solid">
        <fgColor rgb="FF6C5CE7"/>
        <bgColor rgb="FF6C5CE7"/>
      </patternFill>
    </fill>
    <fill>
      <patternFill patternType="solid">
        <fgColor rgb="FF0984E3"/>
        <bgColor rgb="FF0984E3"/>
      </patternFill>
    </fill>
    <fill>
      <patternFill patternType="solid">
        <fgColor rgb="FFF8FAFC"/>
        <bgColor rgb="FFF8FAFC"/>
      </patternFill>
    </fill>
    <fill>
      <patternFill patternType="solid">
        <fgColor rgb="FF00B894"/>
        <bgColor rgb="FF00B894"/>
      </patternFill>
    </fill>
    <fill>
      <patternFill patternType="solid">
        <fgColor rgb="FFFDCB6E"/>
        <bgColor rgb="FFFDCB6E"/>
      </patternFill>
    </fill>
    <fill>
      <patternFill patternType="solid">
        <fgColor rgb="FFE17055"/>
        <bgColor rgb="FFE17055"/>
      </patternFill>
    </fill>
    <fill>
      <patternFill patternType="solid">
        <fgColor rgb="FFE84393"/>
        <bgColor rgb="FFE84393"/>
      </patternFill>
    </fill>
    <fill>
      <patternFill patternType="solid">
        <fgColor rgb="FF00CEC9"/>
        <bgColor rgb="FF00CEC9"/>
      </patternFill>
    </fill>
    <fill>
      <patternFill patternType="solid">
        <fgColor rgb="FF2D3436"/>
        <bgColor rgb="FF2D3436"/>
      </patternFill>
    </fill>
  </fills>
  <borders count="5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1" fillId="2" fontId="2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2" fontId="7" numFmtId="164" xfId="0" applyAlignment="1" applyBorder="1" applyFill="1" applyFont="1" applyNumberFormat="1">
      <alignment horizontal="center" vertical="center"/>
    </xf>
    <xf borderId="1" fillId="2" fontId="8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readingOrder="0" shrinkToFit="0" vertical="center" wrapText="1"/>
    </xf>
    <xf borderId="4" fillId="3" fontId="9" numFmtId="165" xfId="0" applyAlignment="1" applyBorder="1" applyFill="1" applyFont="1" applyNumberForma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readingOrder="0" vertical="center"/>
    </xf>
    <xf borderId="4" fillId="0" fontId="11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" numFmtId="166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4" fillId="5" fontId="10" numFmtId="0" xfId="0" applyAlignment="1" applyBorder="1" applyFill="1" applyFont="1">
      <alignment horizontal="center" readingOrder="0" vertical="center"/>
    </xf>
    <xf borderId="4" fillId="6" fontId="11" numFmtId="0" xfId="0" applyAlignment="1" applyBorder="1" applyFill="1" applyFont="1">
      <alignment readingOrder="0" shrinkToFit="0" vertical="center" wrapText="1"/>
    </xf>
    <xf borderId="4" fillId="6" fontId="12" numFmtId="0" xfId="0" applyAlignment="1" applyBorder="1" applyFill="1" applyFont="1">
      <alignment readingOrder="0" shrinkToFit="0" vertical="center" wrapText="1"/>
    </xf>
    <xf borderId="4" fillId="6" fontId="13" numFmtId="0" xfId="0" applyAlignment="1" applyBorder="1" applyFill="1" applyFont="1">
      <alignment horizontal="center" readingOrder="0" vertical="center"/>
    </xf>
    <xf borderId="4" fillId="6" fontId="12" numFmtId="0" xfId="0" applyAlignment="1" applyBorder="1" applyFill="1" applyFont="1">
      <alignment horizontal="center" readingOrder="0" shrinkToFit="0" vertical="center" wrapText="1"/>
    </xf>
    <xf borderId="4" fillId="6" fontId="1" numFmtId="166" xfId="0" applyAlignment="1" applyBorder="1" applyFill="1" applyFont="1" applyNumberForma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4" fillId="7" fontId="10" numFmtId="0" xfId="0" applyAlignment="1" applyBorder="1" applyFill="1" applyFont="1">
      <alignment horizontal="center" readingOrder="0" vertical="center"/>
    </xf>
    <xf borderId="4" fillId="8" fontId="15" numFmtId="0" xfId="0" applyAlignment="1" applyBorder="1" applyFill="1" applyFont="1">
      <alignment horizontal="center" readingOrder="0" vertical="center"/>
    </xf>
    <xf borderId="4" fillId="0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readingOrder="0" vertical="center"/>
    </xf>
    <xf borderId="4" fillId="9" fontId="10" numFmtId="0" xfId="0" applyAlignment="1" applyBorder="1" applyFill="1" applyFont="1">
      <alignment horizontal="center" readingOrder="0" vertical="center"/>
    </xf>
    <xf borderId="4" fillId="10" fontId="10" numFmtId="0" xfId="0" applyAlignment="1" applyBorder="1" applyFill="1" applyFont="1">
      <alignment horizontal="center" readingOrder="0" vertical="center"/>
    </xf>
    <xf borderId="4" fillId="11" fontId="10" numFmtId="0" xfId="0" applyAlignment="1" applyBorder="1" applyFill="1" applyFont="1">
      <alignment horizontal="center" readingOrder="0" vertical="center"/>
    </xf>
    <xf borderId="4" fillId="12" fontId="10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vertical="center"/>
    </xf>
  </cellXfs>
  <cellStyles count="1">
    <cellStyle xfId="0" name="Normal" builtinId="0"/>
  </cellStyles>
  <dxfs count="14">
    <dxf>
      <font/>
      <fill>
        <patternFill patternType="solid">
          <fgColor rgb="FF6C5CE7"/>
          <bgColor rgb="FF6C5CE7"/>
        </patternFill>
      </fill>
      <border/>
    </dxf>
    <dxf>
      <font/>
      <fill>
        <patternFill patternType="solid">
          <fgColor rgb="FF0984E3"/>
          <bgColor rgb="FF0984E3"/>
        </patternFill>
      </fill>
      <border/>
    </dxf>
    <dxf>
      <font/>
      <fill>
        <patternFill patternType="solid">
          <fgColor rgb="FF00B894"/>
          <bgColor rgb="FF00B894"/>
        </patternFill>
      </fill>
      <border/>
    </dxf>
    <dxf>
      <font/>
      <fill>
        <patternFill patternType="solid">
          <fgColor rgb="FFFDCB6E"/>
          <bgColor rgb="FFFDCB6E"/>
        </patternFill>
      </fill>
      <border/>
    </dxf>
    <dxf>
      <font/>
      <fill>
        <patternFill patternType="solid">
          <fgColor rgb="FFE17055"/>
          <bgColor rgb="FFE17055"/>
        </patternFill>
      </fill>
      <border/>
    </dxf>
    <dxf>
      <font/>
      <fill>
        <patternFill patternType="solid">
          <fgColor rgb="FFE84393"/>
          <bgColor rgb="FFE84393"/>
        </patternFill>
      </fill>
      <border/>
    </dxf>
    <dxf>
      <font/>
      <fill>
        <patternFill patternType="solid">
          <fgColor rgb="FF00CEC9"/>
          <bgColor rgb="FF00CEC9"/>
        </patternFill>
      </fill>
      <border/>
    </dxf>
    <dxf>
      <font/>
      <fill>
        <patternFill patternType="solid">
          <fgColor rgb="FF2D3436"/>
          <bgColor rgb="FF2D3436"/>
        </patternFill>
      </fill>
      <border/>
    </dxf>
    <dxf>
      <font>
        <color rgb="FF065F46"/>
      </font>
      <fill>
        <patternFill patternType="solid">
          <fgColor rgb="FFD1FAE5"/>
          <bgColor rgb="FFD1FAE5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F7675"/>
          <bgColor rgb="FFFF767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5CE7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0"/>
    <col customWidth="1" min="2" max="2" width="8.25"/>
    <col customWidth="1" min="3" max="3" width="20.13"/>
    <col customWidth="1" min="4" max="4" width="35.13"/>
    <col customWidth="1" min="5" max="5" width="14.5"/>
    <col customWidth="1" min="6" max="6" width="16.38"/>
    <col customWidth="1" min="7" max="7" width="8.63"/>
    <col customWidth="1" min="8" max="8" width="6.13"/>
    <col customWidth="1" min="9" max="16" width="8.6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.0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3.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9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2.0" customHeight="1">
      <c r="A5" s="1"/>
      <c r="B5" s="4" t="s">
        <v>2</v>
      </c>
      <c r="C5" s="5"/>
      <c r="D5" s="4" t="s">
        <v>3</v>
      </c>
      <c r="E5" s="5"/>
      <c r="F5" s="4" t="s">
        <v>4</v>
      </c>
      <c r="G5" s="5"/>
      <c r="H5" s="4" t="s">
        <v>5</v>
      </c>
      <c r="I5" s="6"/>
      <c r="J5" s="6"/>
      <c r="K5" s="6"/>
      <c r="L5" s="6"/>
      <c r="M5" s="6"/>
      <c r="N5" s="6"/>
      <c r="O5" s="6"/>
      <c r="P5" s="5"/>
      <c r="Q5" s="1"/>
      <c r="R5" s="1"/>
      <c r="S5" s="1"/>
    </row>
    <row r="6" ht="21.0" customHeight="1">
      <c r="A6" s="1"/>
      <c r="B6" s="7">
        <f>COUNTA(B9:B16)</f>
        <v>8</v>
      </c>
      <c r="C6" s="5"/>
      <c r="D6" s="8">
        <f>COUNTIF(E9:E16, "Concluída")</f>
        <v>8</v>
      </c>
      <c r="E6" s="5"/>
      <c r="F6" s="9">
        <f>COUNTIF(E9:E16, "Concluída")/COUNTA(B9:B16)</f>
        <v>1</v>
      </c>
      <c r="G6" s="5"/>
      <c r="H6" s="10" t="str">
        <f>"🔒 Protegida (PR Obrigatório) — Congelamento hoje às 16h"</f>
        <v>🔒 Protegida (PR Obrigatório) — Congelamento hoje às 16h</v>
      </c>
      <c r="I6" s="6"/>
      <c r="J6" s="6"/>
      <c r="K6" s="6"/>
      <c r="L6" s="6"/>
      <c r="M6" s="6"/>
      <c r="N6" s="6"/>
      <c r="O6" s="6"/>
      <c r="P6" s="5"/>
      <c r="Q6" s="1"/>
      <c r="R6" s="1"/>
      <c r="S6" s="1"/>
    </row>
    <row r="7" ht="11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28.5" customHeight="1">
      <c r="A8" s="1"/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2">
        <v>46307.0</v>
      </c>
      <c r="J8" s="12">
        <v>46308.0</v>
      </c>
      <c r="K8" s="12">
        <v>46309.0</v>
      </c>
      <c r="L8" s="12">
        <v>46310.0</v>
      </c>
      <c r="M8" s="12">
        <v>46311.0</v>
      </c>
      <c r="N8" s="12">
        <v>46312.0</v>
      </c>
      <c r="O8" s="12">
        <v>46313.0</v>
      </c>
      <c r="P8" s="12">
        <v>46314.0</v>
      </c>
      <c r="Q8" s="1"/>
      <c r="R8" s="1"/>
      <c r="S8" s="1"/>
    </row>
    <row r="9" ht="56.25" customHeight="1">
      <c r="A9" s="1"/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>
        <v>46307.0</v>
      </c>
      <c r="H9" s="19">
        <v>1.0</v>
      </c>
      <c r="I9" s="20" t="s">
        <v>13</v>
      </c>
      <c r="J9" s="21"/>
      <c r="K9" s="21"/>
      <c r="L9" s="21"/>
      <c r="M9" s="21"/>
      <c r="N9" s="21"/>
      <c r="O9" s="21"/>
      <c r="P9" s="21"/>
      <c r="Q9" s="1"/>
      <c r="R9" s="1"/>
      <c r="S9" s="1"/>
    </row>
    <row r="10" ht="56.25" customHeight="1">
      <c r="A10" s="1"/>
      <c r="B10" s="22" t="s">
        <v>18</v>
      </c>
      <c r="C10" s="23" t="s">
        <v>19</v>
      </c>
      <c r="D10" s="24" t="s">
        <v>20</v>
      </c>
      <c r="E10" s="25" t="s">
        <v>16</v>
      </c>
      <c r="F10" s="26" t="s">
        <v>21</v>
      </c>
      <c r="G10" s="27">
        <v>46308.0</v>
      </c>
      <c r="H10" s="28">
        <v>1.0</v>
      </c>
      <c r="I10" s="21"/>
      <c r="J10" s="20" t="s">
        <v>18</v>
      </c>
      <c r="K10" s="21"/>
      <c r="L10" s="21"/>
      <c r="M10" s="21"/>
      <c r="N10" s="21"/>
      <c r="O10" s="21"/>
      <c r="P10" s="21"/>
      <c r="Q10" s="1"/>
      <c r="R10" s="1"/>
      <c r="S10" s="1"/>
    </row>
    <row r="11" ht="56.25" customHeight="1">
      <c r="A11" s="1"/>
      <c r="B11" s="29" t="s">
        <v>22</v>
      </c>
      <c r="C11" s="14" t="s">
        <v>23</v>
      </c>
      <c r="D11" s="15" t="s">
        <v>24</v>
      </c>
      <c r="E11" s="16" t="s">
        <v>16</v>
      </c>
      <c r="F11" s="17" t="s">
        <v>25</v>
      </c>
      <c r="G11" s="18">
        <v>46309.0</v>
      </c>
      <c r="H11" s="19">
        <v>1.0</v>
      </c>
      <c r="I11" s="21"/>
      <c r="J11" s="21"/>
      <c r="K11" s="20" t="s">
        <v>22</v>
      </c>
      <c r="L11" s="21"/>
      <c r="M11" s="21"/>
      <c r="N11" s="21"/>
      <c r="O11" s="21"/>
      <c r="P11" s="21"/>
      <c r="Q11" s="1"/>
      <c r="R11" s="1"/>
      <c r="S11" s="1"/>
    </row>
    <row r="12" ht="56.25" customHeight="1">
      <c r="A12" s="1"/>
      <c r="B12" s="30" t="s">
        <v>26</v>
      </c>
      <c r="C12" s="23" t="s">
        <v>27</v>
      </c>
      <c r="D12" s="24" t="s">
        <v>28</v>
      </c>
      <c r="E12" s="25" t="s">
        <v>16</v>
      </c>
      <c r="F12" s="26" t="s">
        <v>29</v>
      </c>
      <c r="G12" s="27">
        <v>46310.0</v>
      </c>
      <c r="H12" s="28">
        <v>1.0</v>
      </c>
      <c r="I12" s="31"/>
      <c r="J12" s="31"/>
      <c r="K12" s="31"/>
      <c r="L12" s="32" t="s">
        <v>26</v>
      </c>
      <c r="M12" s="31"/>
      <c r="N12" s="31"/>
      <c r="O12" s="31"/>
      <c r="P12" s="31"/>
      <c r="Q12" s="1"/>
      <c r="R12" s="1"/>
      <c r="S12" s="1"/>
    </row>
    <row r="13" ht="56.25" customHeight="1">
      <c r="A13" s="1"/>
      <c r="B13" s="33" t="s">
        <v>30</v>
      </c>
      <c r="C13" s="14" t="s">
        <v>31</v>
      </c>
      <c r="D13" s="15" t="s">
        <v>32</v>
      </c>
      <c r="E13" s="16" t="s">
        <v>16</v>
      </c>
      <c r="F13" s="17" t="s">
        <v>33</v>
      </c>
      <c r="G13" s="18">
        <v>46311.0</v>
      </c>
      <c r="H13" s="19">
        <v>1.0</v>
      </c>
      <c r="I13" s="21"/>
      <c r="J13" s="21"/>
      <c r="K13" s="21"/>
      <c r="L13" s="21"/>
      <c r="M13" s="20" t="s">
        <v>30</v>
      </c>
      <c r="N13" s="21"/>
      <c r="O13" s="21"/>
      <c r="P13" s="21"/>
      <c r="Q13" s="1"/>
      <c r="R13" s="1"/>
      <c r="S13" s="1"/>
    </row>
    <row r="14" ht="56.25" customHeight="1">
      <c r="A14" s="1"/>
      <c r="B14" s="34" t="s">
        <v>34</v>
      </c>
      <c r="C14" s="23" t="s">
        <v>35</v>
      </c>
      <c r="D14" s="24" t="s">
        <v>36</v>
      </c>
      <c r="E14" s="25" t="s">
        <v>16</v>
      </c>
      <c r="F14" s="26" t="s">
        <v>37</v>
      </c>
      <c r="G14" s="27">
        <v>46312.0</v>
      </c>
      <c r="H14" s="28">
        <v>1.0</v>
      </c>
      <c r="I14" s="21"/>
      <c r="J14" s="21"/>
      <c r="K14" s="21"/>
      <c r="L14" s="21"/>
      <c r="M14" s="21"/>
      <c r="N14" s="20" t="s">
        <v>34</v>
      </c>
      <c r="O14" s="21"/>
      <c r="P14" s="21"/>
      <c r="Q14" s="1"/>
      <c r="R14" s="1"/>
      <c r="S14" s="1"/>
    </row>
    <row r="15" ht="56.25" customHeight="1">
      <c r="A15" s="1"/>
      <c r="B15" s="35" t="s">
        <v>38</v>
      </c>
      <c r="C15" s="14" t="s">
        <v>39</v>
      </c>
      <c r="D15" s="15" t="s">
        <v>40</v>
      </c>
      <c r="E15" s="16" t="s">
        <v>16</v>
      </c>
      <c r="F15" s="17" t="s">
        <v>41</v>
      </c>
      <c r="G15" s="18">
        <v>46313.0</v>
      </c>
      <c r="H15" s="19">
        <v>1.0</v>
      </c>
      <c r="I15" s="21"/>
      <c r="J15" s="21"/>
      <c r="K15" s="21"/>
      <c r="L15" s="21"/>
      <c r="M15" s="21"/>
      <c r="N15" s="21"/>
      <c r="O15" s="20" t="s">
        <v>38</v>
      </c>
      <c r="P15" s="21"/>
      <c r="Q15" s="1"/>
      <c r="R15" s="1"/>
      <c r="S15" s="1"/>
    </row>
    <row r="16" ht="56.25" customHeight="1">
      <c r="A16" s="1"/>
      <c r="B16" s="36" t="s">
        <v>42</v>
      </c>
      <c r="C16" s="23" t="s">
        <v>43</v>
      </c>
      <c r="D16" s="24" t="s">
        <v>44</v>
      </c>
      <c r="E16" s="25" t="s">
        <v>16</v>
      </c>
      <c r="F16" s="26" t="s">
        <v>17</v>
      </c>
      <c r="G16" s="27">
        <v>46314.0</v>
      </c>
      <c r="H16" s="28">
        <v>1.0</v>
      </c>
      <c r="I16" s="21"/>
      <c r="J16" s="21"/>
      <c r="K16" s="21"/>
      <c r="L16" s="21"/>
      <c r="M16" s="21"/>
      <c r="N16" s="21"/>
      <c r="O16" s="21"/>
      <c r="P16" s="20" t="s">
        <v>42</v>
      </c>
      <c r="Q16" s="1"/>
      <c r="R16" s="1"/>
      <c r="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/>
      <c r="B18" s="37" t="s">
        <v>45</v>
      </c>
      <c r="Q18" s="1"/>
      <c r="R18" s="1"/>
      <c r="S18" s="1"/>
    </row>
    <row r="19">
      <c r="A19" s="1"/>
      <c r="B19" s="38" t="s">
        <v>46</v>
      </c>
      <c r="Q19" s="1"/>
      <c r="R19" s="1"/>
      <c r="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</sheetData>
  <mergeCells count="10">
    <mergeCell ref="B18:P18"/>
    <mergeCell ref="B19:P19"/>
    <mergeCell ref="B5:C5"/>
    <mergeCell ref="D5:E5"/>
    <mergeCell ref="F5:G5"/>
    <mergeCell ref="H5:P5"/>
    <mergeCell ref="B6:C6"/>
    <mergeCell ref="D6:E6"/>
    <mergeCell ref="F6:G6"/>
    <mergeCell ref="H6:P6"/>
  </mergeCells>
  <conditionalFormatting sqref="I9:P9">
    <cfRule type="expression" dxfId="0" priority="1" stopIfTrue="1">
      <formula>AND(I$8&gt;=$G9,I$8&lt;=$G9+$H9-1)</formula>
    </cfRule>
  </conditionalFormatting>
  <conditionalFormatting sqref="I10:P10">
    <cfRule type="expression" dxfId="1" priority="2" stopIfTrue="1">
      <formula>AND(I$8&gt;=$G10,I$8&lt;=$G10+$H10-1)</formula>
    </cfRule>
  </conditionalFormatting>
  <conditionalFormatting sqref="I11:P11">
    <cfRule type="expression" dxfId="2" priority="3" stopIfTrue="1">
      <formula>AND(I$8&gt;=$G11,I$8&lt;=$G11+$H11-1)</formula>
    </cfRule>
  </conditionalFormatting>
  <conditionalFormatting sqref="I12:P12">
    <cfRule type="expression" dxfId="3" priority="4" stopIfTrue="1">
      <formula>AND(I$8&gt;=$G12,I$8&lt;=$G12+$H12-1)</formula>
    </cfRule>
  </conditionalFormatting>
  <conditionalFormatting sqref="I13:P13">
    <cfRule type="expression" dxfId="4" priority="5" stopIfTrue="1">
      <formula>AND(I$8&gt;=$G13,I$8&lt;=$G13+$H13-1)</formula>
    </cfRule>
  </conditionalFormatting>
  <conditionalFormatting sqref="I14:P14">
    <cfRule type="expression" dxfId="5" priority="6" stopIfTrue="1">
      <formula>AND(I$8&gt;=$G14,I$8&lt;=$G14+$H14-1)</formula>
    </cfRule>
  </conditionalFormatting>
  <conditionalFormatting sqref="I15:P15">
    <cfRule type="expression" dxfId="6" priority="7" stopIfTrue="1">
      <formula>AND(I$8&gt;=$G15,I$8&lt;=$G15+$H15-1)</formula>
    </cfRule>
  </conditionalFormatting>
  <conditionalFormatting sqref="I16:P16">
    <cfRule type="expression" dxfId="7" priority="8" stopIfTrue="1">
      <formula>AND(I$8&gt;=$G16,I$8&lt;=$G16+$H16-1)</formula>
    </cfRule>
  </conditionalFormatting>
  <conditionalFormatting sqref="E9:E16">
    <cfRule type="cellIs" dxfId="8" priority="9" stopIfTrue="1" operator="equal">
      <formula>"Concluída"</formula>
    </cfRule>
  </conditionalFormatting>
  <conditionalFormatting sqref="E9:E16">
    <cfRule type="cellIs" dxfId="9" priority="10" stopIfTrue="1" operator="equal">
      <formula>"Em Andamento"</formula>
    </cfRule>
  </conditionalFormatting>
  <conditionalFormatting sqref="E9:E16">
    <cfRule type="cellIs" dxfId="10" priority="11" stopIfTrue="1" operator="equal">
      <formula>"Não Iniciada"</formula>
    </cfRule>
  </conditionalFormatting>
  <conditionalFormatting sqref="E9:E16">
    <cfRule type="cellIs" dxfId="11" priority="12" stopIfTrue="1" operator="equal">
      <formula>"Bloqueada"</formula>
    </cfRule>
  </conditionalFormatting>
  <conditionalFormatting sqref="I9:P16">
    <cfRule type="expression" dxfId="12" priority="13" stopIfTrue="1">
      <formula>OR(WEEKDAY(I$8)=1,WEEKDAY(I$8)=7)</formula>
    </cfRule>
  </conditionalFormatting>
  <conditionalFormatting sqref="I8:P8">
    <cfRule type="expression" dxfId="13" priority="14" stopIfTrue="1">
      <formula>I$8=TODAY()</formula>
    </cfRule>
  </conditionalFormatting>
  <dataValidations>
    <dataValidation type="list" allowBlank="1" sqref="E9:E16">
      <formula1>"Não Iniciada,Em Andamento,Concluída,Bloqueada"</formula1>
    </dataValidation>
  </dataValidations>
  <drawing r:id="rId1"/>
</worksheet>
</file>